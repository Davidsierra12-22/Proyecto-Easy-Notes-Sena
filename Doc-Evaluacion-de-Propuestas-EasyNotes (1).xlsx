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Formato Evaluación" sheetId="1" state="visible" r:id="rId3"/>
    <sheet name="Hoja1" sheetId="2" state="visible" r:id="rId4"/>
  </sheets>
  <definedNames>
    <definedName function="false" hidden="false" localSheetId="0" name="_xlnm.Print_Area" vbProcedure="false">'1 - Formato Evaluación'!$A$1:$T$55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H53" authorId="0">
      <text>
        <r>
          <rPr>
            <sz val="10"/>
            <rFont val="Arial"/>
            <family val="2"/>
          </rPr>
          <t xml:space="preserve">Esta celda debe ser siempre 100%</t>
        </r>
      </text>
    </comment>
    <comment ref="I8" authorId="0">
      <text>
        <r>
          <rPr>
            <sz val="10"/>
            <rFont val="Arial"/>
            <family val="2"/>
          </rPr>
          <t xml:space="preserve">Registrar en este columna el Peso Porcentual de cada Item dentro del Capitulo
</t>
        </r>
      </text>
    </comment>
    <comment ref="I20" authorId="0">
      <text>
        <r>
          <rPr>
            <sz val="10"/>
            <rFont val="Arial"/>
            <family val="2"/>
          </rPr>
          <t xml:space="preserve">Esta celda debe ser siempre 100%</t>
        </r>
      </text>
    </comment>
    <comment ref="I34" authorId="0">
      <text>
        <r>
          <rPr>
            <sz val="10"/>
            <rFont val="Arial"/>
            <family val="2"/>
          </rPr>
          <t xml:space="preserve">Esta celda debe ser siempre 100%</t>
        </r>
      </text>
    </comment>
    <comment ref="I42" authorId="0">
      <text>
        <r>
          <rPr>
            <sz val="10"/>
            <rFont val="Arial"/>
            <family val="2"/>
          </rPr>
          <t xml:space="preserve">Esta celda debe ser siempre 100%</t>
        </r>
      </text>
    </comment>
    <comment ref="I52" authorId="0">
      <text>
        <r>
          <rPr>
            <sz val="10"/>
            <rFont val="Arial"/>
            <family val="2"/>
          </rPr>
          <t xml:space="preserve">Esta celda debe ser siempre 100%</t>
        </r>
      </text>
    </comment>
    <comment ref="J8" authorId="0">
      <text>
        <r>
          <rPr>
            <sz val="10"/>
            <rFont val="Arial"/>
            <family val="2"/>
          </rPr>
          <t xml:space="preserve">Registrar en este columna la calificación de cada Item, siendo 5 la más Alta y 1 la más Baja
</t>
        </r>
      </text>
    </comment>
    <comment ref="J22" authorId="0">
      <text>
        <r>
          <rPr>
            <sz val="10"/>
            <rFont val="Arial"/>
            <family val="2"/>
          </rPr>
          <t xml:space="preserve">Registrar en este columna la calificación de cada Item, siendo 5 la más Alta y 1 la más Baja
</t>
        </r>
      </text>
    </comment>
  </commentList>
</comments>
</file>

<file path=xl/sharedStrings.xml><?xml version="1.0" encoding="utf-8"?>
<sst xmlns="http://schemas.openxmlformats.org/spreadsheetml/2006/main" count="118" uniqueCount="69">
  <si>
    <t xml:space="preserve">EVALUACIÓN DE PROPUESTAS</t>
  </si>
  <si>
    <t xml:space="preserve">VERSION 1.0 </t>
  </si>
  <si>
    <t xml:space="preserve">CODIGO:</t>
  </si>
  <si>
    <t xml:space="preserve">Pag. 1  de __</t>
  </si>
  <si>
    <t xml:space="preserve">NOMBRE PROYECTO: EasyNotes - Sistema de Gestión Académica</t>
  </si>
  <si>
    <t xml:space="preserve">EMPRESA: EasyNotes - Soluciones Educativas Digitales</t>
  </si>
  <si>
    <t xml:space="preserve">I. DATOS DE LA EVALUACIÓN</t>
  </si>
  <si>
    <t xml:space="preserve">BIEN O SERVICIO A CONTRATAR: Sistema de gestión académica (Backend API REST + Frontend React)</t>
  </si>
  <si>
    <t xml:space="preserve">FECHA: Agosto 2026</t>
  </si>
  <si>
    <t xml:space="preserve">GERENTE DE PROYECTO: martin zapata</t>
  </si>
  <si>
    <t xml:space="preserve">LÍDER TÉCNICO: [Nombre del Líder Técnico]</t>
  </si>
  <si>
    <t xml:space="preserve">II. EVALUACIÓN DE LOS REQUERIMIENTOS FUNCIONALES</t>
  </si>
  <si>
    <t xml:space="preserve">Item</t>
  </si>
  <si>
    <t xml:space="preserve">40%</t>
  </si>
  <si>
    <t xml:space="preserve">Peso del 
Item</t>
  </si>
  <si>
    <t xml:space="preserve">TechSoft Colombia S.A.S</t>
  </si>
  <si>
    <t xml:space="preserve">DevTeam Soluciones Digitales</t>
  </si>
  <si>
    <t xml:space="preserve">InnoTech Group</t>
  </si>
  <si>
    <t xml:space="preserve">&lt;Nombre Proponente 4&gt;</t>
  </si>
  <si>
    <t xml:space="preserve">&lt;Nombre Proponente 5&gt;</t>
  </si>
  <si>
    <t xml:space="preserve">Comentarios</t>
  </si>
  <si>
    <t xml:space="preserve">Autenticación JWT con login, registro y recuperación de contraseña</t>
  </si>
  <si>
    <t xml:space="preserve">10%</t>
  </si>
  <si>
    <t xml:space="preserve">Gestión de usuarios con 8 roles y control de acceso por permisos</t>
  </si>
  <si>
    <t xml:space="preserve">8%</t>
  </si>
  <si>
    <t xml:space="preserve">Gestión de instituciones (CRUD, configuración, imágenes)</t>
  </si>
  <si>
    <t xml:space="preserve">5%</t>
  </si>
  <si>
    <t xml:space="preserve">Gestión académica (años, áreas, asignaturas, grupos, carga)</t>
  </si>
  <si>
    <t xml:space="preserve">Calificaciones (individual, masivo, indicadores, actividades)</t>
  </si>
  <si>
    <t xml:space="preserve">Boletines (acumulativo, corto, descriptivo, por áreas)</t>
  </si>
  <si>
    <t xml:space="preserve">Matrículas (pre-matrícula, matrícula, retiro, promoción)</t>
  </si>
  <si>
    <t xml:space="preserve">Pagos y conceptos contables</t>
  </si>
  <si>
    <t xml:space="preserve">Comunicados y notificaciones</t>
  </si>
  <si>
    <t xml:space="preserve">3%</t>
  </si>
  <si>
    <t xml:space="preserve">Observador estudiantil</t>
  </si>
  <si>
    <t xml:space="preserve">4%</t>
  </si>
  <si>
    <t xml:space="preserve">Bitácora de auditoría automática</t>
  </si>
  <si>
    <t xml:space="preserve">Sub Totales</t>
  </si>
  <si>
    <t xml:space="preserve">III. EVALUACIÓN DE LOS REQUERIMIENTOS NO FUNCIONALES</t>
  </si>
  <si>
    <t xml:space="preserve">30%</t>
  </si>
  <si>
    <t xml:space="preserve">Tiempo de respuesta máximo de 500ms por petición API</t>
  </si>
  <si>
    <t xml:space="preserve">6%</t>
  </si>
  <si>
    <t xml:space="preserve">Disponibilidad del 99.5% (máximo 3.6 horas downtime/mes)</t>
  </si>
  <si>
    <t xml:space="preserve">Soporte para múltiples instituciones simultáneas</t>
  </si>
  <si>
    <t xml:space="preserve">Encriptación de contraseñas con bcrypt (salt &gt;= 10)</t>
  </si>
  <si>
    <t xml:space="preserve">Rate limiting (200 peticiones/15 min por IP)</t>
  </si>
  <si>
    <t xml:space="preserve">Headers de seguridad con Helmet.js</t>
  </si>
  <si>
    <t xml:space="preserve">Código modular con patrón MVC simplificado</t>
  </si>
  <si>
    <t xml:space="preserve">2%</t>
  </si>
  <si>
    <t xml:space="preserve">Tests automatizados con cobertura mínima del 60%</t>
  </si>
  <si>
    <t xml:space="preserve">IV. EVALUACIÓN DE ASPECTOS FINANCIEROS</t>
  </si>
  <si>
    <t xml:space="preserve">15%</t>
  </si>
  <si>
    <t xml:space="preserve">Costo total del proyecto (desarrollo completo)</t>
  </si>
  <si>
    <t xml:space="preserve">20%</t>
  </si>
  <si>
    <t xml:space="preserve">Costo por fase (análisis, backend, frontend, pruebas)</t>
  </si>
  <si>
    <t xml:space="preserve">Costo de mantenimiento mensual post-entrega</t>
  </si>
  <si>
    <t xml:space="preserve">Costo de hosting/servidor (6 meses)</t>
  </si>
  <si>
    <t xml:space="preserve">Relación costo-beneficio con funcionalidad entregada</t>
  </si>
  <si>
    <t xml:space="preserve">V. EVALUACIÓN DE ASPECTOS GENERALES</t>
  </si>
  <si>
    <t xml:space="preserve">Experiencia Previa - Casos de Éxito en sistemas educativos</t>
  </si>
  <si>
    <t xml:space="preserve">Equipo de Trabajo (número y cualificación)</t>
  </si>
  <si>
    <t xml:space="preserve">Tiempo de Garantía y soporte post-entrega</t>
  </si>
  <si>
    <t xml:space="preserve">Servicio de Soporte técnico 24/7</t>
  </si>
  <si>
    <r>
      <rPr>
        <sz val="11"/>
        <color theme="1"/>
        <rFont val="Calibri"/>
        <family val="2"/>
        <charset val="1"/>
      </rPr>
      <t xml:space="preserve">Capacidad de</t>
    </r>
    <r>
      <rPr>
        <sz val="11"/>
        <color theme="1"/>
        <rFont val="Noto Sans CJK SC"/>
        <family val="2"/>
        <charset val="1"/>
      </rPr>
      <t xml:space="preserve">响应</t>
    </r>
    <r>
      <rPr>
        <sz val="11"/>
        <color theme="1"/>
        <rFont val="Calibri"/>
        <family val="2"/>
        <charset val="1"/>
      </rPr>
      <t xml:space="preserve">a cambios y ajustes</t>
    </r>
  </si>
  <si>
    <t xml:space="preserve">…</t>
  </si>
  <si>
    <t xml:space="preserve">&lt;Registre Otro Aspecto General n&gt;</t>
  </si>
  <si>
    <t xml:space="preserve">TOTALES</t>
  </si>
  <si>
    <t xml:space="preserve">Orden de Eligibilidad *</t>
  </si>
  <si>
    <t xml:space="preserve">* En el caso en que varios proveedores empaten en el primer lugar, Compras seleccionará entre ellos al proveedor con quien se negocien mejores precios y/o condiciones de pago.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</si>
</sst>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"/>
    <numFmt numFmtId="166" formatCode="0%"/>
    <numFmt numFmtId="167" formatCode="0.00%"/>
    <numFmt numFmtId="168" formatCode="_-* #,##0.00\ _$_-;\-* #,##0.00\ _$_-;_-* \-??\ _$_-;_-@_-"/>
    <numFmt numFmtId="169" formatCode="_-* #,##0\ _$_-;\-* #,##0\ _$_-;_-* \-??\ _$_-;_-@_-"/>
    <numFmt numFmtId="170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2"/>
      <charset val="1"/>
    </font>
    <font>
      <sz val="16"/>
      <name val="Calibri"/>
      <family val="2"/>
      <charset val="1"/>
    </font>
    <font>
      <sz val="16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0"/>
      <name val="Arial"/>
      <family val="0"/>
      <charset val="1"/>
    </font>
    <font>
      <sz val="11"/>
      <color theme="1"/>
      <name val="Noto Sans CJK SC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5"/>
        <bgColor rgb="FFBFBFBF"/>
      </patternFill>
    </fill>
    <fill>
      <patternFill patternType="solid">
        <fgColor theme="4" tint="-0.25"/>
        <bgColor rgb="FF333399"/>
      </patternFill>
    </fill>
    <fill>
      <patternFill patternType="solid">
        <fgColor theme="0"/>
        <bgColor rgb="FFFFFFCC"/>
      </patternFill>
    </fill>
    <fill>
      <patternFill patternType="solid">
        <fgColor theme="0" tint="-0.25"/>
        <bgColor rgb="FFD9D9D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4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1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5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6" fillId="5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6" fillId="5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selection pane="topLeft" activeCell="A6" activeCellId="0" sqref="A6"/>
    </sheetView>
  </sheetViews>
  <sheetFormatPr defaultColWidth="11.4296875" defaultRowHeight="15" zeroHeight="false" outlineLevelRow="0" outlineLevelCol="0"/>
  <cols>
    <col collapsed="false" customWidth="true" hidden="false" outlineLevel="0" max="4" min="1" style="1" width="3.43"/>
    <col collapsed="false" customWidth="true" hidden="false" outlineLevel="0" max="5" min="5" style="1" width="7"/>
    <col collapsed="false" customWidth="true" hidden="false" outlineLevel="0" max="6" min="6" style="1" width="51.47"/>
    <col collapsed="false" customWidth="true" hidden="false" outlineLevel="0" max="7" min="7" style="1" width="30.57"/>
    <col collapsed="false" customWidth="true" hidden="false" outlineLevel="0" max="8" min="8" style="1" width="6"/>
    <col collapsed="false" customWidth="true" hidden="false" outlineLevel="0" max="9" min="9" style="1" width="17.7"/>
    <col collapsed="false" customWidth="true" hidden="false" outlineLevel="0" max="10" min="10" style="1" width="16.39"/>
    <col collapsed="false" customWidth="true" hidden="false" outlineLevel="0" max="11" min="11" style="1" width="15.78"/>
    <col collapsed="false" customWidth="true" hidden="false" outlineLevel="0" max="12" min="12" style="1" width="6.43"/>
    <col collapsed="false" customWidth="true" hidden="false" outlineLevel="0" max="13" min="13" style="1" width="15.62"/>
    <col collapsed="false" customWidth="true" hidden="false" outlineLevel="0" max="14" min="14" style="1" width="6.43"/>
    <col collapsed="false" customWidth="true" hidden="false" outlineLevel="0" max="15" min="15" style="1" width="7.72"/>
    <col collapsed="false" customWidth="true" hidden="false" outlineLevel="0" max="16" min="16" style="1" width="7.15"/>
    <col collapsed="false" customWidth="true" hidden="false" outlineLevel="0" max="17" min="17" style="1" width="11.34"/>
    <col collapsed="false" customWidth="true" hidden="false" outlineLevel="0" max="18" min="18" style="1" width="7.15"/>
    <col collapsed="false" customWidth="true" hidden="false" outlineLevel="0" max="19" min="19" style="1" width="29.27"/>
    <col collapsed="false" customWidth="true" hidden="false" outlineLevel="0" max="20" min="20" style="1" width="67.15"/>
    <col collapsed="false" customWidth="false" hidden="false" outlineLevel="0" max="16384" min="21" style="1" width="11.43"/>
  </cols>
  <sheetData>
    <row r="1" customFormat="false" ht="42" hidden="false" customHeight="true" outlineLevel="0" collapsed="false">
      <c r="A1" s="2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1</v>
      </c>
    </row>
    <row r="2" customFormat="false" ht="34.5" hidden="false" customHeight="true" outlineLevel="0" collapsed="false">
      <c r="A2" s="2"/>
      <c r="B2" s="2"/>
      <c r="C2" s="2"/>
      <c r="D2" s="2"/>
      <c r="E2" s="2"/>
      <c r="F2" s="2"/>
      <c r="G2" s="2"/>
      <c r="H2" s="5" t="s">
        <v>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3</v>
      </c>
    </row>
    <row r="3" s="11" customFormat="true" ht="24.75" hidden="false" customHeight="true" outlineLevel="0" collapsed="false">
      <c r="A3" s="7" t="s">
        <v>4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 t="s">
        <v>5</v>
      </c>
      <c r="P3" s="9"/>
      <c r="Q3" s="9"/>
      <c r="R3" s="9"/>
      <c r="S3" s="9"/>
      <c r="T3" s="10"/>
    </row>
    <row r="4" s="13" customFormat="true" ht="15" hidden="false" customHeight="true" outlineLevel="0" collapsed="false">
      <c r="A4" s="12" t="s">
        <v>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customFormat="false" ht="15" hidden="false" customHeight="false" outlineLevel="0" collapsed="false">
      <c r="A5" s="14" t="s">
        <v>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 t="s">
        <v>8</v>
      </c>
    </row>
    <row r="6" customFormat="false" ht="15.75" hidden="false" customHeight="true" outlineLevel="0" collapsed="false">
      <c r="A6" s="16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7" t="s">
        <v>10</v>
      </c>
      <c r="N6" s="17"/>
      <c r="O6" s="17"/>
      <c r="P6" s="17"/>
      <c r="Q6" s="17"/>
      <c r="R6" s="17"/>
      <c r="S6" s="17"/>
      <c r="T6" s="17"/>
    </row>
    <row r="7" customFormat="false" ht="18.75" hidden="false" customHeight="true" outlineLevel="0" collapsed="false">
      <c r="A7" s="18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="13" customFormat="true" ht="30" hidden="false" customHeight="true" outlineLevel="0" collapsed="false">
      <c r="A8" s="19" t="s">
        <v>12</v>
      </c>
      <c r="B8" s="19"/>
      <c r="C8" s="19"/>
      <c r="D8" s="19"/>
      <c r="E8" s="19"/>
      <c r="F8" s="19"/>
      <c r="G8" s="19"/>
      <c r="H8" s="20" t="s">
        <v>13</v>
      </c>
      <c r="I8" s="20" t="s">
        <v>14</v>
      </c>
      <c r="J8" s="20" t="s">
        <v>15</v>
      </c>
      <c r="K8" s="20"/>
      <c r="L8" s="20" t="s">
        <v>16</v>
      </c>
      <c r="M8" s="20"/>
      <c r="N8" s="20" t="s">
        <v>17</v>
      </c>
      <c r="O8" s="20"/>
      <c r="P8" s="20" t="s">
        <v>18</v>
      </c>
      <c r="Q8" s="20"/>
      <c r="R8" s="20" t="s">
        <v>19</v>
      </c>
      <c r="S8" s="20"/>
      <c r="T8" s="21" t="s">
        <v>20</v>
      </c>
    </row>
    <row r="9" customFormat="false" ht="15" hidden="false" customHeight="false" outlineLevel="0" collapsed="false">
      <c r="A9" s="22" t="n">
        <v>1</v>
      </c>
      <c r="B9" s="23" t="s">
        <v>21</v>
      </c>
      <c r="C9" s="23"/>
      <c r="D9" s="23"/>
      <c r="E9" s="23"/>
      <c r="F9" s="23"/>
      <c r="G9" s="23"/>
      <c r="H9" s="24"/>
      <c r="I9" s="25" t="s">
        <v>22</v>
      </c>
      <c r="J9" s="26" t="n">
        <v>5</v>
      </c>
      <c r="K9" s="27"/>
      <c r="L9" s="26" t="n">
        <v>5</v>
      </c>
      <c r="M9" s="27"/>
      <c r="N9" s="26" t="n">
        <v>4</v>
      </c>
      <c r="O9" s="27"/>
      <c r="P9" s="28"/>
      <c r="Q9" s="27"/>
      <c r="R9" s="28"/>
      <c r="S9" s="27"/>
      <c r="T9" s="29"/>
    </row>
    <row r="10" customFormat="false" ht="15" hidden="false" customHeight="false" outlineLevel="0" collapsed="false">
      <c r="A10" s="22" t="n">
        <v>2</v>
      </c>
      <c r="B10" s="23" t="s">
        <v>23</v>
      </c>
      <c r="C10" s="23"/>
      <c r="D10" s="23"/>
      <c r="E10" s="23"/>
      <c r="F10" s="23"/>
      <c r="G10" s="23"/>
      <c r="H10" s="24"/>
      <c r="I10" s="25" t="s">
        <v>24</v>
      </c>
      <c r="J10" s="26" t="n">
        <v>5</v>
      </c>
      <c r="K10" s="27"/>
      <c r="L10" s="26" t="n">
        <v>5</v>
      </c>
      <c r="M10" s="27"/>
      <c r="N10" s="26" t="n">
        <v>5</v>
      </c>
      <c r="O10" s="27"/>
      <c r="P10" s="28"/>
      <c r="Q10" s="27"/>
      <c r="R10" s="28"/>
      <c r="S10" s="27"/>
      <c r="T10" s="29"/>
    </row>
    <row r="11" customFormat="false" ht="15" hidden="false" customHeight="false" outlineLevel="0" collapsed="false">
      <c r="A11" s="22" t="n">
        <v>3</v>
      </c>
      <c r="B11" s="23" t="s">
        <v>25</v>
      </c>
      <c r="C11" s="23"/>
      <c r="D11" s="23"/>
      <c r="E11" s="23"/>
      <c r="F11" s="23"/>
      <c r="G11" s="23"/>
      <c r="H11" s="24"/>
      <c r="I11" s="25" t="s">
        <v>26</v>
      </c>
      <c r="J11" s="26" t="n">
        <v>4</v>
      </c>
      <c r="K11" s="27"/>
      <c r="L11" s="26" t="n">
        <v>4</v>
      </c>
      <c r="M11" s="27"/>
      <c r="N11" s="26" t="n">
        <v>3</v>
      </c>
      <c r="O11" s="27"/>
      <c r="P11" s="28"/>
      <c r="Q11" s="27"/>
      <c r="R11" s="28"/>
      <c r="S11" s="27"/>
      <c r="T11" s="29"/>
    </row>
    <row r="12" customFormat="false" ht="27" hidden="false" customHeight="true" outlineLevel="0" collapsed="false">
      <c r="A12" s="22" t="n">
        <v>4</v>
      </c>
      <c r="B12" s="23" t="s">
        <v>27</v>
      </c>
      <c r="C12" s="23"/>
      <c r="D12" s="23"/>
      <c r="E12" s="23"/>
      <c r="F12" s="23"/>
      <c r="G12" s="23"/>
      <c r="H12" s="24"/>
      <c r="I12" s="25" t="s">
        <v>24</v>
      </c>
      <c r="J12" s="26" t="n">
        <v>5</v>
      </c>
      <c r="K12" s="27"/>
      <c r="L12" s="26" t="n">
        <v>4</v>
      </c>
      <c r="M12" s="27"/>
      <c r="N12" s="26" t="n">
        <v>5</v>
      </c>
      <c r="O12" s="27"/>
      <c r="P12" s="28"/>
      <c r="Q12" s="27"/>
      <c r="R12" s="28"/>
      <c r="S12" s="27"/>
      <c r="T12" s="29"/>
    </row>
    <row r="13" customFormat="false" ht="27" hidden="false" customHeight="true" outlineLevel="0" collapsed="false">
      <c r="A13" s="22" t="n">
        <v>5</v>
      </c>
      <c r="B13" s="23" t="s">
        <v>28</v>
      </c>
      <c r="C13" s="23"/>
      <c r="D13" s="23"/>
      <c r="E13" s="23"/>
      <c r="F13" s="23"/>
      <c r="G13" s="23"/>
      <c r="H13" s="24"/>
      <c r="I13" s="25" t="s">
        <v>22</v>
      </c>
      <c r="J13" s="26" t="n">
        <v>5</v>
      </c>
      <c r="K13" s="27"/>
      <c r="L13" s="26" t="n">
        <v>5</v>
      </c>
      <c r="M13" s="27"/>
      <c r="N13" s="26" t="n">
        <v>4</v>
      </c>
      <c r="O13" s="27"/>
      <c r="P13" s="28"/>
      <c r="Q13" s="27"/>
      <c r="R13" s="28"/>
      <c r="S13" s="27"/>
      <c r="T13" s="29"/>
    </row>
    <row r="14" customFormat="false" ht="42" hidden="false" customHeight="true" outlineLevel="0" collapsed="false">
      <c r="A14" s="22" t="n">
        <v>6</v>
      </c>
      <c r="B14" s="30" t="s">
        <v>29</v>
      </c>
      <c r="C14" s="30"/>
      <c r="D14" s="30"/>
      <c r="E14" s="30"/>
      <c r="F14" s="30"/>
      <c r="G14" s="30"/>
      <c r="H14" s="24"/>
      <c r="I14" s="25" t="s">
        <v>26</v>
      </c>
      <c r="J14" s="26" t="n">
        <v>4</v>
      </c>
      <c r="K14" s="27"/>
      <c r="L14" s="26" t="n">
        <v>3</v>
      </c>
      <c r="M14" s="27"/>
      <c r="N14" s="26" t="n">
        <v>4</v>
      </c>
      <c r="O14" s="27"/>
      <c r="P14" s="28"/>
      <c r="Q14" s="27"/>
      <c r="R14" s="28"/>
      <c r="S14" s="27"/>
      <c r="T14" s="29"/>
    </row>
    <row r="15" customFormat="false" ht="28.5" hidden="false" customHeight="true" outlineLevel="0" collapsed="false">
      <c r="A15" s="22" t="n">
        <v>7</v>
      </c>
      <c r="B15" s="30" t="s">
        <v>30</v>
      </c>
      <c r="C15" s="30"/>
      <c r="D15" s="30"/>
      <c r="E15" s="30"/>
      <c r="F15" s="30"/>
      <c r="G15" s="30"/>
      <c r="H15" s="24"/>
      <c r="I15" s="25" t="s">
        <v>24</v>
      </c>
      <c r="J15" s="26" t="n">
        <v>5</v>
      </c>
      <c r="K15" s="27"/>
      <c r="L15" s="26" t="n">
        <v>4</v>
      </c>
      <c r="M15" s="27"/>
      <c r="N15" s="26" t="n">
        <v>5</v>
      </c>
      <c r="O15" s="27"/>
      <c r="P15" s="28"/>
      <c r="Q15" s="27"/>
      <c r="R15" s="28"/>
      <c r="S15" s="27"/>
      <c r="T15" s="29"/>
    </row>
    <row r="16" customFormat="false" ht="27.75" hidden="false" customHeight="true" outlineLevel="0" collapsed="false">
      <c r="A16" s="22" t="n">
        <v>8</v>
      </c>
      <c r="B16" s="30" t="s">
        <v>31</v>
      </c>
      <c r="C16" s="30"/>
      <c r="D16" s="30"/>
      <c r="E16" s="30"/>
      <c r="F16" s="30"/>
      <c r="G16" s="30"/>
      <c r="H16" s="24"/>
      <c r="I16" s="25" t="s">
        <v>26</v>
      </c>
      <c r="J16" s="26" t="n">
        <v>4</v>
      </c>
      <c r="K16" s="27"/>
      <c r="L16" s="26" t="n">
        <v>5</v>
      </c>
      <c r="M16" s="27"/>
      <c r="N16" s="26" t="n">
        <v>3</v>
      </c>
      <c r="O16" s="27"/>
      <c r="P16" s="28"/>
      <c r="Q16" s="27"/>
      <c r="R16" s="28"/>
      <c r="S16" s="27"/>
      <c r="T16" s="29"/>
    </row>
    <row r="17" customFormat="false" ht="29.25" hidden="false" customHeight="true" outlineLevel="0" collapsed="false">
      <c r="A17" s="22" t="n">
        <v>9</v>
      </c>
      <c r="B17" s="30" t="s">
        <v>32</v>
      </c>
      <c r="C17" s="30"/>
      <c r="D17" s="30"/>
      <c r="E17" s="30"/>
      <c r="F17" s="30"/>
      <c r="G17" s="30"/>
      <c r="H17" s="24"/>
      <c r="I17" s="25" t="s">
        <v>33</v>
      </c>
      <c r="J17" s="26" t="n">
        <v>3</v>
      </c>
      <c r="K17" s="27"/>
      <c r="L17" s="26" t="n">
        <v>4</v>
      </c>
      <c r="M17" s="27"/>
      <c r="N17" s="26" t="n">
        <v>4</v>
      </c>
      <c r="O17" s="27"/>
      <c r="P17" s="28"/>
      <c r="Q17" s="27"/>
      <c r="R17" s="28"/>
      <c r="S17" s="27"/>
      <c r="T17" s="29"/>
    </row>
    <row r="18" customFormat="false" ht="28.5" hidden="false" customHeight="true" outlineLevel="0" collapsed="false">
      <c r="A18" s="22" t="n">
        <v>10</v>
      </c>
      <c r="B18" s="30" t="s">
        <v>34</v>
      </c>
      <c r="C18" s="30"/>
      <c r="D18" s="30"/>
      <c r="E18" s="30"/>
      <c r="F18" s="30"/>
      <c r="G18" s="30"/>
      <c r="H18" s="24"/>
      <c r="I18" s="25" t="s">
        <v>35</v>
      </c>
      <c r="J18" s="26" t="n">
        <v>4</v>
      </c>
      <c r="K18" s="27"/>
      <c r="L18" s="26" t="n">
        <v>4</v>
      </c>
      <c r="M18" s="27"/>
      <c r="N18" s="26" t="n">
        <v>3</v>
      </c>
      <c r="O18" s="27"/>
      <c r="P18" s="28"/>
      <c r="Q18" s="27"/>
      <c r="R18" s="28"/>
      <c r="S18" s="27"/>
      <c r="T18" s="29"/>
    </row>
    <row r="19" customFormat="false" ht="15" hidden="false" customHeight="false" outlineLevel="0" collapsed="false">
      <c r="A19" s="22" t="n">
        <v>11</v>
      </c>
      <c r="B19" s="23" t="s">
        <v>36</v>
      </c>
      <c r="C19" s="23"/>
      <c r="D19" s="23"/>
      <c r="E19" s="23"/>
      <c r="F19" s="23"/>
      <c r="G19" s="23"/>
      <c r="H19" s="24"/>
      <c r="I19" s="25" t="s">
        <v>35</v>
      </c>
      <c r="J19" s="26" t="n">
        <v>5</v>
      </c>
      <c r="K19" s="27"/>
      <c r="L19" s="26" t="n">
        <v>5</v>
      </c>
      <c r="M19" s="27"/>
      <c r="N19" s="26" t="n">
        <v>5</v>
      </c>
      <c r="O19" s="27"/>
      <c r="P19" s="28"/>
      <c r="Q19" s="27"/>
      <c r="R19" s="28"/>
      <c r="S19" s="27"/>
      <c r="T19" s="29"/>
    </row>
    <row r="20" customFormat="false" ht="15.75" hidden="false" customHeight="true" outlineLevel="0" collapsed="false">
      <c r="A20" s="31" t="s">
        <v>37</v>
      </c>
      <c r="B20" s="31"/>
      <c r="C20" s="31"/>
      <c r="D20" s="31"/>
      <c r="E20" s="31"/>
      <c r="F20" s="31"/>
      <c r="G20" s="31"/>
      <c r="H20" s="24"/>
      <c r="I20" s="32" t="n">
        <f aca="false">+SUM(I9:I19)</f>
        <v>0</v>
      </c>
      <c r="J20" s="33" t="n">
        <f aca="false">+SUM(J9:J19)</f>
        <v>49</v>
      </c>
      <c r="K20" s="34" t="n">
        <f aca="false">SUM(K9:K19)</f>
        <v>0</v>
      </c>
      <c r="L20" s="33" t="n">
        <f aca="false">+SUM(L9:L19)</f>
        <v>48</v>
      </c>
      <c r="M20" s="34" t="n">
        <f aca="false">SUM(M9:M19)</f>
        <v>0</v>
      </c>
      <c r="N20" s="33" t="n">
        <f aca="false">+SUM(N9:N19)</f>
        <v>45</v>
      </c>
      <c r="O20" s="34" t="n">
        <f aca="false">SUM(O9:O19)</f>
        <v>0</v>
      </c>
      <c r="P20" s="33" t="n">
        <f aca="false">+SUM(P9:P19)</f>
        <v>0</v>
      </c>
      <c r="Q20" s="34" t="n">
        <f aca="false">SUM(Q9:Q19)</f>
        <v>0</v>
      </c>
      <c r="R20" s="33" t="n">
        <f aca="false">+SUM(R9:R19)</f>
        <v>0</v>
      </c>
      <c r="S20" s="34" t="n">
        <f aca="false">SUM(S9:S19)</f>
        <v>0</v>
      </c>
      <c r="T20" s="35"/>
    </row>
    <row r="21" customFormat="false" ht="15" hidden="false" customHeight="true" outlineLevel="0" collapsed="false">
      <c r="A21" s="18" t="s">
        <v>38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="13" customFormat="true" ht="30" hidden="false" customHeight="true" outlineLevel="0" collapsed="false">
      <c r="A22" s="19" t="s">
        <v>12</v>
      </c>
      <c r="B22" s="19"/>
      <c r="C22" s="19"/>
      <c r="D22" s="19"/>
      <c r="E22" s="19"/>
      <c r="F22" s="19"/>
      <c r="G22" s="19"/>
      <c r="H22" s="20" t="s">
        <v>39</v>
      </c>
      <c r="I22" s="20" t="s">
        <v>14</v>
      </c>
      <c r="J22" s="20" t="s">
        <v>15</v>
      </c>
      <c r="K22" s="20"/>
      <c r="L22" s="20" t="s">
        <v>16</v>
      </c>
      <c r="M22" s="20"/>
      <c r="N22" s="20" t="s">
        <v>17</v>
      </c>
      <c r="O22" s="20"/>
      <c r="P22" s="20" t="s">
        <v>18</v>
      </c>
      <c r="Q22" s="20"/>
      <c r="R22" s="20" t="s">
        <v>19</v>
      </c>
      <c r="S22" s="20"/>
      <c r="T22" s="21" t="s">
        <v>20</v>
      </c>
    </row>
    <row r="23" customFormat="false" ht="33" hidden="false" customHeight="true" outlineLevel="0" collapsed="false">
      <c r="A23" s="22" t="n">
        <v>1</v>
      </c>
      <c r="B23" s="23" t="s">
        <v>40</v>
      </c>
      <c r="C23" s="23"/>
      <c r="D23" s="23"/>
      <c r="E23" s="23"/>
      <c r="F23" s="23"/>
      <c r="G23" s="23"/>
      <c r="H23" s="36"/>
      <c r="I23" s="25" t="s">
        <v>41</v>
      </c>
      <c r="J23" s="26" t="n">
        <v>5</v>
      </c>
      <c r="K23" s="27"/>
      <c r="L23" s="26" t="n">
        <v>4</v>
      </c>
      <c r="M23" s="27"/>
      <c r="N23" s="26" t="n">
        <v>3</v>
      </c>
      <c r="O23" s="27"/>
      <c r="P23" s="28"/>
      <c r="Q23" s="27"/>
      <c r="R23" s="28"/>
      <c r="S23" s="27"/>
      <c r="T23" s="37"/>
    </row>
    <row r="24" customFormat="false" ht="15" hidden="false" customHeight="false" outlineLevel="0" collapsed="false">
      <c r="A24" s="22" t="n">
        <v>2</v>
      </c>
      <c r="B24" s="23" t="s">
        <v>42</v>
      </c>
      <c r="C24" s="23"/>
      <c r="D24" s="23"/>
      <c r="E24" s="23"/>
      <c r="F24" s="23"/>
      <c r="G24" s="23"/>
      <c r="H24" s="36"/>
      <c r="I24" s="25" t="s">
        <v>26</v>
      </c>
      <c r="J24" s="26" t="n">
        <v>4</v>
      </c>
      <c r="K24" s="27"/>
      <c r="L24" s="26" t="n">
        <v>5</v>
      </c>
      <c r="M24" s="27"/>
      <c r="N24" s="26" t="n">
        <v>4</v>
      </c>
      <c r="O24" s="27"/>
      <c r="P24" s="28"/>
      <c r="Q24" s="27"/>
      <c r="R24" s="28"/>
      <c r="S24" s="27"/>
      <c r="T24" s="29"/>
    </row>
    <row r="25" customFormat="false" ht="15" hidden="false" customHeight="false" outlineLevel="0" collapsed="false">
      <c r="A25" s="22" t="n">
        <v>3</v>
      </c>
      <c r="B25" s="23" t="s">
        <v>43</v>
      </c>
      <c r="C25" s="23"/>
      <c r="D25" s="23"/>
      <c r="E25" s="23"/>
      <c r="F25" s="23"/>
      <c r="G25" s="23"/>
      <c r="H25" s="36"/>
      <c r="I25" s="25" t="s">
        <v>26</v>
      </c>
      <c r="J25" s="26" t="n">
        <v>5</v>
      </c>
      <c r="K25" s="27"/>
      <c r="L25" s="26" t="n">
        <v>4</v>
      </c>
      <c r="M25" s="27"/>
      <c r="N25" s="26" t="n">
        <v>5</v>
      </c>
      <c r="O25" s="27"/>
      <c r="P25" s="28"/>
      <c r="Q25" s="27"/>
      <c r="R25" s="28"/>
      <c r="S25" s="27"/>
      <c r="T25" s="29"/>
    </row>
    <row r="26" customFormat="false" ht="45.75" hidden="false" customHeight="true" outlineLevel="0" collapsed="false">
      <c r="A26" s="22" t="n">
        <v>4</v>
      </c>
      <c r="B26" s="23" t="s">
        <v>44</v>
      </c>
      <c r="C26" s="23"/>
      <c r="D26" s="23"/>
      <c r="E26" s="23"/>
      <c r="F26" s="23"/>
      <c r="G26" s="23"/>
      <c r="H26" s="36"/>
      <c r="I26" s="25" t="s">
        <v>35</v>
      </c>
      <c r="J26" s="26" t="n">
        <v>5</v>
      </c>
      <c r="K26" s="27"/>
      <c r="L26" s="26" t="n">
        <v>5</v>
      </c>
      <c r="M26" s="27"/>
      <c r="N26" s="26" t="n">
        <v>4</v>
      </c>
      <c r="O26" s="27"/>
      <c r="P26" s="28"/>
      <c r="Q26" s="27"/>
      <c r="R26" s="28"/>
      <c r="S26" s="27"/>
      <c r="T26" s="37"/>
    </row>
    <row r="27" customFormat="false" ht="15" hidden="false" customHeight="false" outlineLevel="0" collapsed="false">
      <c r="A27" s="22" t="n">
        <v>5</v>
      </c>
      <c r="B27" s="23" t="s">
        <v>45</v>
      </c>
      <c r="C27" s="23"/>
      <c r="D27" s="23"/>
      <c r="E27" s="23"/>
      <c r="F27" s="23"/>
      <c r="G27" s="23"/>
      <c r="H27" s="36"/>
      <c r="I27" s="25" t="s">
        <v>33</v>
      </c>
      <c r="J27" s="26" t="n">
        <v>4</v>
      </c>
      <c r="K27" s="27"/>
      <c r="L27" s="26" t="n">
        <v>4</v>
      </c>
      <c r="M27" s="27"/>
      <c r="N27" s="26" t="n">
        <v>3</v>
      </c>
      <c r="O27" s="27"/>
      <c r="P27" s="28"/>
      <c r="Q27" s="27"/>
      <c r="R27" s="28"/>
      <c r="S27" s="27"/>
      <c r="T27" s="29"/>
    </row>
    <row r="28" customFormat="false" ht="15" hidden="false" customHeight="false" outlineLevel="0" collapsed="false">
      <c r="A28" s="22" t="n">
        <v>6</v>
      </c>
      <c r="B28" s="23" t="s">
        <v>46</v>
      </c>
      <c r="C28" s="23"/>
      <c r="D28" s="23"/>
      <c r="E28" s="23"/>
      <c r="F28" s="23"/>
      <c r="G28" s="23"/>
      <c r="H28" s="36"/>
      <c r="I28" s="25" t="s">
        <v>33</v>
      </c>
      <c r="J28" s="26" t="n">
        <v>5</v>
      </c>
      <c r="K28" s="27"/>
      <c r="L28" s="26" t="n">
        <v>4</v>
      </c>
      <c r="M28" s="27"/>
      <c r="N28" s="26" t="n">
        <v>5</v>
      </c>
      <c r="O28" s="27"/>
      <c r="P28" s="28"/>
      <c r="Q28" s="27"/>
      <c r="R28" s="28"/>
      <c r="S28" s="27"/>
      <c r="T28" s="29"/>
    </row>
    <row r="29" customFormat="false" ht="15" hidden="false" customHeight="false" outlineLevel="0" collapsed="false">
      <c r="A29" s="22" t="n">
        <v>7</v>
      </c>
      <c r="B29" s="23" t="s">
        <v>47</v>
      </c>
      <c r="C29" s="23"/>
      <c r="D29" s="23"/>
      <c r="E29" s="23"/>
      <c r="F29" s="23"/>
      <c r="G29" s="23"/>
      <c r="H29" s="36"/>
      <c r="I29" s="25" t="s">
        <v>48</v>
      </c>
      <c r="J29" s="26" t="n">
        <v>4</v>
      </c>
      <c r="K29" s="27"/>
      <c r="L29" s="26" t="n">
        <v>5</v>
      </c>
      <c r="M29" s="27"/>
      <c r="N29" s="26" t="n">
        <v>4</v>
      </c>
      <c r="O29" s="27"/>
      <c r="P29" s="28"/>
      <c r="Q29" s="27"/>
      <c r="R29" s="28"/>
      <c r="S29" s="27"/>
      <c r="T29" s="29"/>
    </row>
    <row r="30" customFormat="false" ht="44.25" hidden="false" customHeight="true" outlineLevel="0" collapsed="false">
      <c r="A30" s="22" t="n">
        <v>8</v>
      </c>
      <c r="B30" s="38" t="s">
        <v>49</v>
      </c>
      <c r="C30" s="38"/>
      <c r="D30" s="38"/>
      <c r="E30" s="38"/>
      <c r="F30" s="38"/>
      <c r="G30" s="38"/>
      <c r="H30" s="36"/>
      <c r="I30" s="25" t="s">
        <v>48</v>
      </c>
      <c r="J30" s="26" t="n">
        <v>3</v>
      </c>
      <c r="K30" s="27"/>
      <c r="L30" s="26" t="n">
        <v>4</v>
      </c>
      <c r="M30" s="27"/>
      <c r="N30" s="26" t="n">
        <v>3</v>
      </c>
      <c r="O30" s="27"/>
      <c r="P30" s="28"/>
      <c r="Q30" s="27"/>
      <c r="R30" s="28"/>
      <c r="S30" s="27"/>
      <c r="T30" s="29"/>
    </row>
    <row r="31" customFormat="false" ht="39" hidden="false" customHeight="true" outlineLevel="0" collapsed="false">
      <c r="A31" s="39" t="n">
        <v>9</v>
      </c>
      <c r="B31" s="40"/>
      <c r="C31" s="40"/>
      <c r="D31" s="40"/>
      <c r="E31" s="40"/>
      <c r="F31" s="40"/>
      <c r="G31" s="40"/>
      <c r="H31" s="36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9"/>
    </row>
    <row r="32" customFormat="false" ht="15" hidden="false" customHeight="false" outlineLevel="0" collapsed="false">
      <c r="A32" s="39" t="n">
        <v>10</v>
      </c>
      <c r="B32" s="41"/>
      <c r="C32" s="41"/>
      <c r="D32" s="41"/>
      <c r="E32" s="41"/>
      <c r="F32" s="41"/>
      <c r="G32" s="41"/>
      <c r="H32" s="36"/>
      <c r="I32" s="27"/>
      <c r="J32" s="28"/>
      <c r="K32" s="27"/>
      <c r="L32" s="28"/>
      <c r="M32" s="27"/>
      <c r="N32" s="28"/>
      <c r="O32" s="27"/>
      <c r="P32" s="28"/>
      <c r="Q32" s="27"/>
      <c r="R32" s="28"/>
      <c r="S32" s="27"/>
      <c r="T32" s="29"/>
    </row>
    <row r="33" customFormat="false" ht="28.5" hidden="false" customHeight="true" outlineLevel="0" collapsed="false">
      <c r="A33" s="39" t="n">
        <v>11</v>
      </c>
      <c r="B33" s="42"/>
      <c r="C33" s="42"/>
      <c r="D33" s="42"/>
      <c r="E33" s="42"/>
      <c r="F33" s="42"/>
      <c r="G33" s="42"/>
      <c r="H33" s="36"/>
      <c r="I33" s="27"/>
      <c r="J33" s="28"/>
      <c r="K33" s="27"/>
      <c r="L33" s="28"/>
      <c r="M33" s="27"/>
      <c r="N33" s="28"/>
      <c r="O33" s="27"/>
      <c r="P33" s="28"/>
      <c r="Q33" s="27"/>
      <c r="R33" s="28"/>
      <c r="S33" s="27"/>
      <c r="T33" s="29"/>
    </row>
    <row r="34" customFormat="false" ht="15.75" hidden="false" customHeight="true" outlineLevel="0" collapsed="false">
      <c r="A34" s="31" t="s">
        <v>37</v>
      </c>
      <c r="B34" s="31"/>
      <c r="C34" s="31"/>
      <c r="D34" s="31"/>
      <c r="E34" s="31"/>
      <c r="F34" s="31"/>
      <c r="G34" s="31"/>
      <c r="H34" s="36"/>
      <c r="I34" s="43" t="n">
        <f aca="false">+SUM(I23:I33)</f>
        <v>0</v>
      </c>
      <c r="J34" s="44" t="n">
        <f aca="false">+SUM(J23:J33)</f>
        <v>35</v>
      </c>
      <c r="K34" s="45" t="n">
        <f aca="false">SUM(K23:K33)</f>
        <v>0</v>
      </c>
      <c r="L34" s="44" t="n">
        <f aca="false">+SUM(L23:L33)</f>
        <v>35</v>
      </c>
      <c r="M34" s="45" t="n">
        <f aca="false">SUM(M23:M33)</f>
        <v>0</v>
      </c>
      <c r="N34" s="44" t="n">
        <f aca="false">+SUM(N23:N33)</f>
        <v>31</v>
      </c>
      <c r="O34" s="45" t="n">
        <f aca="false">SUM(O23:O33)</f>
        <v>0</v>
      </c>
      <c r="P34" s="44" t="n">
        <f aca="false">+SUM(P23:P33)</f>
        <v>0</v>
      </c>
      <c r="Q34" s="45" t="n">
        <f aca="false">SUM(Q23:Q33)</f>
        <v>0</v>
      </c>
      <c r="R34" s="44" t="n">
        <f aca="false">+SUM(R23:R33)</f>
        <v>0</v>
      </c>
      <c r="S34" s="45" t="n">
        <f aca="false">SUM(S23:S33)</f>
        <v>0</v>
      </c>
      <c r="T34" s="29"/>
    </row>
    <row r="35" customFormat="false" ht="15" hidden="false" customHeight="true" outlineLevel="0" collapsed="false">
      <c r="A35" s="18" t="s">
        <v>50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="13" customFormat="true" ht="30" hidden="false" customHeight="true" outlineLevel="0" collapsed="false">
      <c r="A36" s="19" t="s">
        <v>12</v>
      </c>
      <c r="B36" s="19"/>
      <c r="C36" s="19"/>
      <c r="D36" s="19"/>
      <c r="E36" s="19"/>
      <c r="F36" s="19"/>
      <c r="G36" s="19"/>
      <c r="H36" s="20" t="s">
        <v>51</v>
      </c>
      <c r="I36" s="20" t="s">
        <v>14</v>
      </c>
      <c r="J36" s="20" t="s">
        <v>15</v>
      </c>
      <c r="K36" s="20"/>
      <c r="L36" s="20" t="s">
        <v>16</v>
      </c>
      <c r="M36" s="20"/>
      <c r="N36" s="20" t="s">
        <v>17</v>
      </c>
      <c r="O36" s="20"/>
      <c r="P36" s="20" t="s">
        <v>18</v>
      </c>
      <c r="Q36" s="20"/>
      <c r="R36" s="20" t="s">
        <v>19</v>
      </c>
      <c r="S36" s="20"/>
      <c r="T36" s="21" t="s">
        <v>20</v>
      </c>
    </row>
    <row r="37" customFormat="false" ht="15" hidden="false" customHeight="false" outlineLevel="0" collapsed="false">
      <c r="A37" s="22" t="n">
        <v>1</v>
      </c>
      <c r="B37" s="41" t="s">
        <v>52</v>
      </c>
      <c r="C37" s="41"/>
      <c r="D37" s="41"/>
      <c r="E37" s="41"/>
      <c r="F37" s="41"/>
      <c r="G37" s="41"/>
      <c r="H37" s="36"/>
      <c r="I37" s="25" t="s">
        <v>53</v>
      </c>
      <c r="J37" s="26" t="n">
        <v>4</v>
      </c>
      <c r="K37" s="27"/>
      <c r="L37" s="26" t="n">
        <v>5</v>
      </c>
      <c r="M37" s="27"/>
      <c r="N37" s="26" t="n">
        <v>3</v>
      </c>
      <c r="O37" s="27"/>
      <c r="P37" s="28"/>
      <c r="Q37" s="27"/>
      <c r="R37" s="28"/>
      <c r="S37" s="27"/>
      <c r="T37" s="29"/>
    </row>
    <row r="38" customFormat="false" ht="15" hidden="false" customHeight="false" outlineLevel="0" collapsed="false">
      <c r="A38" s="22" t="n">
        <v>2</v>
      </c>
      <c r="B38" s="41" t="s">
        <v>54</v>
      </c>
      <c r="C38" s="41"/>
      <c r="D38" s="41"/>
      <c r="E38" s="41"/>
      <c r="F38" s="41"/>
      <c r="G38" s="41"/>
      <c r="H38" s="36"/>
      <c r="I38" s="25" t="s">
        <v>53</v>
      </c>
      <c r="J38" s="26" t="n">
        <v>4</v>
      </c>
      <c r="K38" s="27"/>
      <c r="L38" s="26" t="n">
        <v>4</v>
      </c>
      <c r="M38" s="27"/>
      <c r="N38" s="26" t="n">
        <v>3</v>
      </c>
      <c r="O38" s="27"/>
      <c r="P38" s="28"/>
      <c r="Q38" s="27"/>
      <c r="R38" s="28"/>
      <c r="S38" s="27"/>
      <c r="T38" s="29"/>
    </row>
    <row r="39" customFormat="false" ht="15" hidden="false" customHeight="false" outlineLevel="0" collapsed="false">
      <c r="A39" s="22" t="n">
        <v>3</v>
      </c>
      <c r="B39" s="41" t="s">
        <v>55</v>
      </c>
      <c r="C39" s="41"/>
      <c r="D39" s="41"/>
      <c r="E39" s="41"/>
      <c r="F39" s="41"/>
      <c r="G39" s="41"/>
      <c r="H39" s="36"/>
      <c r="I39" s="25" t="s">
        <v>53</v>
      </c>
      <c r="J39" s="26" t="n">
        <v>5</v>
      </c>
      <c r="K39" s="27"/>
      <c r="L39" s="26" t="n">
        <v>4</v>
      </c>
      <c r="M39" s="27"/>
      <c r="N39" s="26" t="n">
        <v>4</v>
      </c>
      <c r="O39" s="27"/>
      <c r="P39" s="28"/>
      <c r="Q39" s="27"/>
      <c r="R39" s="28"/>
      <c r="S39" s="27"/>
      <c r="T39" s="29"/>
    </row>
    <row r="40" customFormat="false" ht="15" hidden="false" customHeight="false" outlineLevel="0" collapsed="false">
      <c r="A40" s="22" t="n">
        <v>4</v>
      </c>
      <c r="B40" s="41" t="s">
        <v>56</v>
      </c>
      <c r="C40" s="41"/>
      <c r="D40" s="41"/>
      <c r="E40" s="41"/>
      <c r="F40" s="41"/>
      <c r="G40" s="41"/>
      <c r="H40" s="36"/>
      <c r="I40" s="25" t="s">
        <v>53</v>
      </c>
      <c r="J40" s="26" t="n">
        <v>4</v>
      </c>
      <c r="K40" s="27"/>
      <c r="L40" s="26" t="n">
        <v>5</v>
      </c>
      <c r="M40" s="27"/>
      <c r="N40" s="26" t="n">
        <v>3</v>
      </c>
      <c r="O40" s="27"/>
      <c r="P40" s="28"/>
      <c r="Q40" s="27"/>
      <c r="R40" s="28"/>
      <c r="S40" s="27"/>
      <c r="T40" s="29"/>
    </row>
    <row r="41" customFormat="false" ht="15" hidden="false" customHeight="false" outlineLevel="0" collapsed="false">
      <c r="A41" s="22" t="n">
        <v>5</v>
      </c>
      <c r="B41" s="41" t="s">
        <v>57</v>
      </c>
      <c r="C41" s="41"/>
      <c r="D41" s="41"/>
      <c r="E41" s="41"/>
      <c r="F41" s="41"/>
      <c r="G41" s="41"/>
      <c r="H41" s="36"/>
      <c r="I41" s="25" t="s">
        <v>53</v>
      </c>
      <c r="J41" s="26" t="n">
        <v>5</v>
      </c>
      <c r="K41" s="27"/>
      <c r="L41" s="26" t="n">
        <v>4</v>
      </c>
      <c r="M41" s="27"/>
      <c r="N41" s="26" t="n">
        <v>4</v>
      </c>
      <c r="O41" s="27"/>
      <c r="P41" s="28"/>
      <c r="Q41" s="27"/>
      <c r="R41" s="28"/>
      <c r="S41" s="27"/>
      <c r="T41" s="29"/>
    </row>
    <row r="42" customFormat="false" ht="15.75" hidden="false" customHeight="true" outlineLevel="0" collapsed="false">
      <c r="A42" s="31" t="s">
        <v>37</v>
      </c>
      <c r="B42" s="31"/>
      <c r="C42" s="31"/>
      <c r="D42" s="31"/>
      <c r="E42" s="31"/>
      <c r="F42" s="31"/>
      <c r="G42" s="31"/>
      <c r="H42" s="36"/>
      <c r="I42" s="43" t="n">
        <f aca="false">+SUM(I37:I41)</f>
        <v>0</v>
      </c>
      <c r="J42" s="44" t="n">
        <f aca="false">+SUM(J37:J41)</f>
        <v>22</v>
      </c>
      <c r="K42" s="45" t="n">
        <f aca="false">SUM(K37:K41)</f>
        <v>0</v>
      </c>
      <c r="L42" s="44" t="n">
        <f aca="false">+SUM(L37:L41)</f>
        <v>22</v>
      </c>
      <c r="M42" s="45" t="n">
        <f aca="false">SUM(M37:M41)</f>
        <v>0</v>
      </c>
      <c r="N42" s="44" t="n">
        <f aca="false">+SUM(N37:N41)</f>
        <v>17</v>
      </c>
      <c r="O42" s="45" t="n">
        <f aca="false">SUM(O37:O41)</f>
        <v>0</v>
      </c>
      <c r="P42" s="44" t="n">
        <f aca="false">+SUM(P37:P41)</f>
        <v>0</v>
      </c>
      <c r="Q42" s="45" t="n">
        <f aca="false">SUM(Q37:Q41)</f>
        <v>0</v>
      </c>
      <c r="R42" s="44" t="n">
        <f aca="false">+SUM(R37:R41)</f>
        <v>0</v>
      </c>
      <c r="S42" s="45" t="n">
        <f aca="false">SUM(S37:S41)</f>
        <v>0</v>
      </c>
      <c r="T42" s="29"/>
    </row>
    <row r="43" customFormat="false" ht="15" hidden="false" customHeight="true" outlineLevel="0" collapsed="false">
      <c r="A43" s="18" t="s">
        <v>58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="13" customFormat="true" ht="30" hidden="false" customHeight="true" outlineLevel="0" collapsed="false">
      <c r="A44" s="19" t="s">
        <v>12</v>
      </c>
      <c r="B44" s="19"/>
      <c r="C44" s="19"/>
      <c r="D44" s="19"/>
      <c r="E44" s="19"/>
      <c r="F44" s="19"/>
      <c r="G44" s="19"/>
      <c r="H44" s="20" t="s">
        <v>51</v>
      </c>
      <c r="I44" s="20" t="s">
        <v>14</v>
      </c>
      <c r="J44" s="20" t="s">
        <v>15</v>
      </c>
      <c r="K44" s="20"/>
      <c r="L44" s="20" t="s">
        <v>16</v>
      </c>
      <c r="M44" s="20"/>
      <c r="N44" s="20" t="s">
        <v>17</v>
      </c>
      <c r="O44" s="20"/>
      <c r="P44" s="20" t="s">
        <v>18</v>
      </c>
      <c r="Q44" s="20"/>
      <c r="R44" s="20" t="s">
        <v>19</v>
      </c>
      <c r="S44" s="20"/>
      <c r="T44" s="21" t="s">
        <v>20</v>
      </c>
    </row>
    <row r="45" customFormat="false" ht="15" hidden="false" customHeight="false" outlineLevel="0" collapsed="false">
      <c r="A45" s="22" t="n">
        <v>1</v>
      </c>
      <c r="B45" s="41" t="s">
        <v>59</v>
      </c>
      <c r="C45" s="41"/>
      <c r="D45" s="41"/>
      <c r="E45" s="41"/>
      <c r="F45" s="41"/>
      <c r="G45" s="41"/>
      <c r="H45" s="46"/>
      <c r="I45" s="25" t="s">
        <v>53</v>
      </c>
      <c r="J45" s="26" t="n">
        <v>5</v>
      </c>
      <c r="K45" s="27"/>
      <c r="L45" s="26" t="n">
        <v>4</v>
      </c>
      <c r="M45" s="27"/>
      <c r="N45" s="26" t="n">
        <v>3</v>
      </c>
      <c r="O45" s="27"/>
      <c r="P45" s="28"/>
      <c r="Q45" s="27"/>
      <c r="R45" s="28"/>
      <c r="S45" s="27"/>
      <c r="T45" s="29"/>
    </row>
    <row r="46" customFormat="false" ht="15" hidden="false" customHeight="false" outlineLevel="0" collapsed="false">
      <c r="A46" s="22" t="n">
        <v>2</v>
      </c>
      <c r="B46" s="41" t="s">
        <v>60</v>
      </c>
      <c r="C46" s="41"/>
      <c r="D46" s="41"/>
      <c r="E46" s="41"/>
      <c r="F46" s="41"/>
      <c r="G46" s="41"/>
      <c r="H46" s="46"/>
      <c r="I46" s="25" t="s">
        <v>53</v>
      </c>
      <c r="J46" s="26" t="n">
        <v>4</v>
      </c>
      <c r="K46" s="27"/>
      <c r="L46" s="26" t="n">
        <v>5</v>
      </c>
      <c r="M46" s="27"/>
      <c r="N46" s="26" t="n">
        <v>4</v>
      </c>
      <c r="O46" s="27"/>
      <c r="P46" s="28"/>
      <c r="Q46" s="27"/>
      <c r="R46" s="28"/>
      <c r="S46" s="27"/>
      <c r="T46" s="29"/>
    </row>
    <row r="47" customFormat="false" ht="15" hidden="false" customHeight="false" outlineLevel="0" collapsed="false">
      <c r="A47" s="22" t="n">
        <v>3</v>
      </c>
      <c r="B47" s="41" t="s">
        <v>61</v>
      </c>
      <c r="C47" s="41"/>
      <c r="D47" s="41"/>
      <c r="E47" s="41"/>
      <c r="F47" s="41"/>
      <c r="G47" s="41"/>
      <c r="H47" s="46"/>
      <c r="I47" s="25" t="s">
        <v>53</v>
      </c>
      <c r="J47" s="26" t="n">
        <v>5</v>
      </c>
      <c r="K47" s="27"/>
      <c r="L47" s="26" t="n">
        <v>4</v>
      </c>
      <c r="M47" s="27"/>
      <c r="N47" s="26" t="n">
        <v>5</v>
      </c>
      <c r="O47" s="27"/>
      <c r="P47" s="28"/>
      <c r="Q47" s="27"/>
      <c r="R47" s="28"/>
      <c r="S47" s="27"/>
      <c r="T47" s="29"/>
    </row>
    <row r="48" customFormat="false" ht="15" hidden="false" customHeight="false" outlineLevel="0" collapsed="false">
      <c r="A48" s="22" t="n">
        <v>4</v>
      </c>
      <c r="B48" s="41" t="s">
        <v>62</v>
      </c>
      <c r="C48" s="41"/>
      <c r="D48" s="41"/>
      <c r="E48" s="41"/>
      <c r="F48" s="41"/>
      <c r="G48" s="41"/>
      <c r="H48" s="46"/>
      <c r="I48" s="25" t="s">
        <v>53</v>
      </c>
      <c r="J48" s="26" t="n">
        <v>4</v>
      </c>
      <c r="K48" s="27"/>
      <c r="L48" s="26" t="n">
        <v>5</v>
      </c>
      <c r="M48" s="27"/>
      <c r="N48" s="26" t="n">
        <v>4</v>
      </c>
      <c r="O48" s="27"/>
      <c r="P48" s="28"/>
      <c r="Q48" s="27"/>
      <c r="R48" s="28"/>
      <c r="S48" s="27"/>
      <c r="T48" s="29"/>
    </row>
    <row r="49" customFormat="false" ht="17.15" hidden="false" customHeight="false" outlineLevel="0" collapsed="false">
      <c r="A49" s="22" t="n">
        <v>5</v>
      </c>
      <c r="B49" s="41" t="s">
        <v>63</v>
      </c>
      <c r="C49" s="41"/>
      <c r="D49" s="41"/>
      <c r="E49" s="41"/>
      <c r="F49" s="41"/>
      <c r="G49" s="41"/>
      <c r="H49" s="46"/>
      <c r="I49" s="25" t="s">
        <v>53</v>
      </c>
      <c r="J49" s="26" t="n">
        <v>3</v>
      </c>
      <c r="K49" s="27"/>
      <c r="L49" s="26" t="n">
        <v>4</v>
      </c>
      <c r="M49" s="27"/>
      <c r="N49" s="26" t="n">
        <v>3</v>
      </c>
      <c r="O49" s="27"/>
      <c r="P49" s="28"/>
      <c r="Q49" s="27"/>
      <c r="R49" s="28"/>
      <c r="S49" s="27"/>
      <c r="T49" s="29"/>
    </row>
    <row r="50" customFormat="false" ht="15" hidden="false" customHeight="false" outlineLevel="0" collapsed="false">
      <c r="A50" s="39" t="n">
        <v>6</v>
      </c>
      <c r="B50" s="41" t="s">
        <v>64</v>
      </c>
      <c r="C50" s="41"/>
      <c r="D50" s="41"/>
      <c r="E50" s="41"/>
      <c r="F50" s="41"/>
      <c r="G50" s="41"/>
      <c r="H50" s="46"/>
      <c r="I50" s="27"/>
      <c r="J50" s="28"/>
      <c r="K50" s="27"/>
      <c r="L50" s="28"/>
      <c r="M50" s="27"/>
      <c r="N50" s="28"/>
      <c r="O50" s="27"/>
      <c r="P50" s="28"/>
      <c r="Q50" s="27"/>
      <c r="R50" s="28"/>
      <c r="S50" s="27"/>
      <c r="T50" s="29"/>
    </row>
    <row r="51" customFormat="false" ht="15" hidden="false" customHeight="false" outlineLevel="0" collapsed="false">
      <c r="A51" s="39" t="n">
        <v>7</v>
      </c>
      <c r="B51" s="41" t="s">
        <v>65</v>
      </c>
      <c r="C51" s="41"/>
      <c r="D51" s="41"/>
      <c r="E51" s="41"/>
      <c r="F51" s="41"/>
      <c r="G51" s="41"/>
      <c r="H51" s="46"/>
      <c r="I51" s="27"/>
      <c r="J51" s="28"/>
      <c r="K51" s="27"/>
      <c r="L51" s="28"/>
      <c r="M51" s="27"/>
      <c r="N51" s="28"/>
      <c r="O51" s="27"/>
      <c r="P51" s="28"/>
      <c r="Q51" s="27"/>
      <c r="R51" s="28"/>
      <c r="S51" s="27"/>
      <c r="T51" s="29"/>
    </row>
    <row r="52" customFormat="false" ht="15.75" hidden="false" customHeight="true" outlineLevel="0" collapsed="false">
      <c r="A52" s="47" t="s">
        <v>37</v>
      </c>
      <c r="B52" s="47"/>
      <c r="C52" s="47"/>
      <c r="D52" s="47"/>
      <c r="E52" s="47"/>
      <c r="F52" s="47"/>
      <c r="G52" s="47"/>
      <c r="H52" s="46"/>
      <c r="I52" s="48" t="n">
        <f aca="false">+SUM(I45:I51)</f>
        <v>0</v>
      </c>
      <c r="J52" s="49" t="n">
        <f aca="false">+SUM(J45:J51)</f>
        <v>21</v>
      </c>
      <c r="K52" s="50" t="n">
        <f aca="false">SUM(K45:K51)</f>
        <v>0</v>
      </c>
      <c r="L52" s="49" t="n">
        <f aca="false">+SUM(L45:L51)</f>
        <v>22</v>
      </c>
      <c r="M52" s="50" t="n">
        <f aca="false">SUM(M45:M51)</f>
        <v>0</v>
      </c>
      <c r="N52" s="49" t="n">
        <f aca="false">+SUM(N45:N51)</f>
        <v>19</v>
      </c>
      <c r="O52" s="50" t="n">
        <f aca="false">SUM(O45:O51)</f>
        <v>0</v>
      </c>
      <c r="P52" s="49" t="n">
        <f aca="false">+SUM(P45:P51)</f>
        <v>0</v>
      </c>
      <c r="Q52" s="50" t="n">
        <f aca="false">SUM(Q45:Q51)</f>
        <v>0</v>
      </c>
      <c r="R52" s="49" t="n">
        <f aca="false">+SUM(R45:R51)</f>
        <v>0</v>
      </c>
      <c r="S52" s="50" t="n">
        <f aca="false">SUM(S45:S51)</f>
        <v>0</v>
      </c>
      <c r="T52" s="35"/>
    </row>
    <row r="53" customFormat="false" ht="18.75" hidden="false" customHeight="true" outlineLevel="0" collapsed="false">
      <c r="A53" s="51" t="s">
        <v>66</v>
      </c>
      <c r="B53" s="51"/>
      <c r="C53" s="51"/>
      <c r="D53" s="51"/>
      <c r="E53" s="51"/>
      <c r="F53" s="51"/>
      <c r="G53" s="51"/>
      <c r="H53" s="52" t="n">
        <f aca="false">SUM(H9,H23,H37,H45)</f>
        <v>0</v>
      </c>
      <c r="I53" s="52"/>
      <c r="J53" s="53" t="n">
        <f aca="false">(K20*$H$9)+(K34*$H$23)+(K42*$H$37)+(K52*$H$45)</f>
        <v>0</v>
      </c>
      <c r="K53" s="53"/>
      <c r="L53" s="53" t="n">
        <f aca="false">(M20*$H$9)+(M34*$H$23)+(M42*$H$37)+(M52*$H$45)</f>
        <v>0</v>
      </c>
      <c r="M53" s="53"/>
      <c r="N53" s="53" t="n">
        <f aca="false">(O20*$H$9)+(O34*$H$23)+(O42*$H$37)+(O52*$H$45)</f>
        <v>0</v>
      </c>
      <c r="O53" s="53"/>
      <c r="P53" s="53" t="n">
        <f aca="false">(Q20*$H$9)+(Q34*$H$23)+(Q42*$H$37)+(Q52*$H$45)</f>
        <v>0</v>
      </c>
      <c r="Q53" s="53"/>
      <c r="R53" s="53" t="n">
        <f aca="false">(S20*$H$9)+(S34*$H$23)+(S42*$H$37)+(S52*$H$45)</f>
        <v>0</v>
      </c>
      <c r="S53" s="53"/>
    </row>
    <row r="54" customFormat="false" ht="19.5" hidden="false" customHeight="true" outlineLevel="0" collapsed="false">
      <c r="A54" s="54" t="s">
        <v>67</v>
      </c>
      <c r="B54" s="54"/>
      <c r="C54" s="54"/>
      <c r="D54" s="54"/>
      <c r="E54" s="54"/>
      <c r="F54" s="54"/>
      <c r="G54" s="54"/>
      <c r="H54" s="54"/>
      <c r="I54" s="54"/>
      <c r="J54" s="55" t="n">
        <f aca="false">RANK(J53,$J$53:$S$53)</f>
        <v>1</v>
      </c>
      <c r="K54" s="55"/>
      <c r="L54" s="55" t="n">
        <f aca="false">RANK(L53,$J$53:$S$53)</f>
        <v>1</v>
      </c>
      <c r="M54" s="55"/>
      <c r="N54" s="55" t="n">
        <f aca="false">RANK(N53,$J$53:$S$53)</f>
        <v>1</v>
      </c>
      <c r="O54" s="55"/>
      <c r="P54" s="55" t="n">
        <f aca="false">RANK(P53,$J$53:$S$53)</f>
        <v>1</v>
      </c>
      <c r="Q54" s="55"/>
      <c r="R54" s="56" t="n">
        <f aca="false">RANK(R53,$J$53:$S$53)</f>
        <v>1</v>
      </c>
      <c r="S54" s="56"/>
    </row>
    <row r="55" customFormat="false" ht="15" hidden="false" customHeight="false" outlineLevel="0" collapsed="false">
      <c r="A55" s="57" t="s">
        <v>68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</row>
    <row r="56" customFormat="false" ht="15" hidden="false" customHeight="false" outlineLevel="0" collapsed="false">
      <c r="A56" s="58"/>
      <c r="B56" s="59"/>
      <c r="C56" s="59"/>
      <c r="D56" s="59"/>
      <c r="E56" s="59"/>
      <c r="F56" s="59"/>
      <c r="G56" s="59"/>
    </row>
    <row r="57" customFormat="false" ht="15" hidden="false" customHeight="false" outlineLevel="0" collapsed="false">
      <c r="A57" s="58"/>
      <c r="B57" s="59"/>
      <c r="C57" s="59"/>
      <c r="D57" s="59"/>
      <c r="E57" s="59"/>
      <c r="F57" s="59"/>
      <c r="G57" s="59"/>
    </row>
    <row r="58" customFormat="false" ht="15" hidden="false" customHeight="false" outlineLevel="0" collapsed="false">
      <c r="A58" s="58"/>
      <c r="B58" s="59"/>
      <c r="C58" s="59"/>
      <c r="D58" s="59"/>
      <c r="E58" s="59"/>
      <c r="F58" s="59"/>
      <c r="G58" s="59"/>
    </row>
    <row r="59" customFormat="false" ht="15" hidden="false" customHeight="false" outlineLevel="0" collapsed="false">
      <c r="A59" s="58"/>
      <c r="B59" s="59"/>
      <c r="C59" s="59"/>
      <c r="D59" s="59"/>
      <c r="E59" s="59"/>
      <c r="F59" s="59"/>
      <c r="G59" s="59"/>
    </row>
    <row r="60" customFormat="false" ht="15" hidden="false" customHeight="false" outlineLevel="0" collapsed="false">
      <c r="A60" s="58"/>
      <c r="B60" s="59"/>
      <c r="C60" s="59"/>
      <c r="D60" s="59"/>
      <c r="E60" s="59"/>
      <c r="F60" s="59"/>
      <c r="G60" s="59"/>
    </row>
    <row r="61" customFormat="false" ht="15" hidden="false" customHeight="false" outlineLevel="0" collapsed="false">
      <c r="A61" s="58"/>
      <c r="B61" s="59"/>
      <c r="C61" s="59"/>
      <c r="D61" s="59"/>
      <c r="E61" s="59"/>
      <c r="F61" s="59"/>
      <c r="G61" s="59"/>
    </row>
    <row r="62" customFormat="false" ht="15" hidden="false" customHeight="false" outlineLevel="0" collapsed="false">
      <c r="A62" s="58"/>
      <c r="B62" s="59"/>
      <c r="C62" s="59"/>
      <c r="D62" s="59"/>
      <c r="E62" s="59"/>
      <c r="F62" s="59"/>
      <c r="G62" s="59"/>
    </row>
    <row r="63" customFormat="false" ht="15" hidden="false" customHeight="false" outlineLevel="0" collapsed="false">
      <c r="A63" s="58"/>
      <c r="B63" s="59"/>
      <c r="C63" s="59"/>
      <c r="D63" s="59"/>
      <c r="E63" s="59"/>
      <c r="F63" s="59"/>
      <c r="G63" s="59"/>
    </row>
    <row r="64" customFormat="false" ht="15" hidden="false" customHeight="false" outlineLevel="0" collapsed="false">
      <c r="A64" s="58"/>
      <c r="B64" s="59"/>
      <c r="C64" s="59"/>
      <c r="D64" s="59"/>
      <c r="E64" s="59"/>
      <c r="F64" s="59"/>
      <c r="G64" s="59"/>
    </row>
    <row r="65" customFormat="false" ht="15" hidden="false" customHeight="false" outlineLevel="0" collapsed="false">
      <c r="A65" s="58"/>
      <c r="B65" s="59"/>
      <c r="C65" s="59"/>
      <c r="D65" s="59"/>
      <c r="E65" s="59"/>
      <c r="F65" s="59"/>
      <c r="G65" s="59"/>
    </row>
  </sheetData>
  <mergeCells count="93">
    <mergeCell ref="A1:G2"/>
    <mergeCell ref="H1:S1"/>
    <mergeCell ref="H2:S2"/>
    <mergeCell ref="G3:N3"/>
    <mergeCell ref="O3:S3"/>
    <mergeCell ref="A4:T4"/>
    <mergeCell ref="A5:S5"/>
    <mergeCell ref="A6:L6"/>
    <mergeCell ref="M6:T6"/>
    <mergeCell ref="A7:T7"/>
    <mergeCell ref="A8:G8"/>
    <mergeCell ref="J8:K8"/>
    <mergeCell ref="L8:M8"/>
    <mergeCell ref="N8:O8"/>
    <mergeCell ref="P8:Q8"/>
    <mergeCell ref="R8:S8"/>
    <mergeCell ref="B9:G9"/>
    <mergeCell ref="H9:H20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A20:G20"/>
    <mergeCell ref="A21:T21"/>
    <mergeCell ref="A22:G22"/>
    <mergeCell ref="J22:K22"/>
    <mergeCell ref="L22:M22"/>
    <mergeCell ref="N22:O22"/>
    <mergeCell ref="P22:Q22"/>
    <mergeCell ref="R22:S22"/>
    <mergeCell ref="B23:G23"/>
    <mergeCell ref="H23:H34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A34:G34"/>
    <mergeCell ref="A35:T35"/>
    <mergeCell ref="A36:G36"/>
    <mergeCell ref="J36:K36"/>
    <mergeCell ref="L36:M36"/>
    <mergeCell ref="N36:O36"/>
    <mergeCell ref="P36:Q36"/>
    <mergeCell ref="R36:S36"/>
    <mergeCell ref="B37:G37"/>
    <mergeCell ref="H37:H42"/>
    <mergeCell ref="B38:G38"/>
    <mergeCell ref="B39:G39"/>
    <mergeCell ref="B40:G40"/>
    <mergeCell ref="B41:G41"/>
    <mergeCell ref="A42:G42"/>
    <mergeCell ref="A43:T43"/>
    <mergeCell ref="A44:G44"/>
    <mergeCell ref="J44:K44"/>
    <mergeCell ref="L44:M44"/>
    <mergeCell ref="N44:O44"/>
    <mergeCell ref="P44:Q44"/>
    <mergeCell ref="R44:S44"/>
    <mergeCell ref="B45:G45"/>
    <mergeCell ref="H45:H52"/>
    <mergeCell ref="B46:G46"/>
    <mergeCell ref="B47:G47"/>
    <mergeCell ref="B48:G48"/>
    <mergeCell ref="B49:G49"/>
    <mergeCell ref="B50:G50"/>
    <mergeCell ref="B51:G51"/>
    <mergeCell ref="A52:G52"/>
    <mergeCell ref="A53:G53"/>
    <mergeCell ref="H53:I53"/>
    <mergeCell ref="J53:K53"/>
    <mergeCell ref="L53:M53"/>
    <mergeCell ref="N53:O53"/>
    <mergeCell ref="P53:Q53"/>
    <mergeCell ref="R53:S53"/>
    <mergeCell ref="A54:I54"/>
    <mergeCell ref="J54:K54"/>
    <mergeCell ref="L54:M54"/>
    <mergeCell ref="N54:O54"/>
    <mergeCell ref="P54:Q54"/>
    <mergeCell ref="R54:S54"/>
    <mergeCell ref="A55:T55"/>
  </mergeCells>
  <printOptions headings="false" gridLines="false" gridLinesSet="true" horizontalCentered="false" verticalCentered="false"/>
  <pageMargins left="0.708333333333333" right="0.708333333333333" top="0.470138888888889" bottom="0.529861111111111" header="0.511811023622047" footer="0.511811023622047"/>
  <pageSetup paperSize="1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4" zoomScaleNormal="54" zoomScalePageLayoutView="100" workbookViewId="0">
      <selection pane="topLeft" activeCell="G21" activeCellId="0" sqref="G21"/>
    </sheetView>
  </sheetViews>
  <sheetFormatPr defaultColWidth="10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es-CO</dc:language>
  <cp:lastModifiedBy/>
  <dcterms:modified xsi:type="dcterms:W3CDTF">2026-08-20T22:17:10Z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0x010100A8B469A66FD62C4AB52007FF8964D5B0</vt:lpwstr>
  </property>
</Properties>
</file>